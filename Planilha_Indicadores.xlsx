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runo.kawasaki\OneDrive - Grupo Gadens\1. Bruno Kawasaki\Projeto teste\"/>
    </mc:Choice>
  </mc:AlternateContent>
  <bookViews>
    <workbookView xWindow="0" yWindow="0" windowWidth="17256" windowHeight="7812" activeTab="1"/>
  </bookViews>
  <sheets>
    <sheet name="Resumo" sheetId="1" r:id="rId1"/>
    <sheet name="Financeiro" sheetId="2" r:id="rId2"/>
    <sheet name="Operacional" sheetId="3" r:id="rId3"/>
    <sheet name="Comercial" sheetId="4" r:id="rId4"/>
    <sheet name="RH" sheetId="5" r:id="rId5"/>
    <sheet name="Qualidade" sheetId="6" r:id="rId6"/>
    <sheet name="Logistica" sheetId="7" r:id="rId7"/>
    <sheet name="TI" sheetId="8" r:id="rId8"/>
    <sheet name="ESG" sheetId="9" r:id="rId9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" i="9" l="1"/>
  <c r="J4" i="8"/>
  <c r="J3" i="8"/>
  <c r="J2" i="8"/>
  <c r="J4" i="7"/>
  <c r="J3" i="7"/>
  <c r="J2" i="7"/>
  <c r="J4" i="6"/>
  <c r="J3" i="6"/>
  <c r="J2" i="6"/>
  <c r="J3" i="5"/>
  <c r="J2" i="5"/>
  <c r="J4" i="4"/>
  <c r="J3" i="4"/>
  <c r="J2" i="4"/>
  <c r="J3" i="3"/>
  <c r="J2" i="3"/>
  <c r="J9" i="2"/>
  <c r="J8" i="2"/>
  <c r="J7" i="2"/>
  <c r="J6" i="2"/>
  <c r="J5" i="2"/>
  <c r="J4" i="2"/>
  <c r="J3" i="2"/>
  <c r="J2" i="2"/>
</calcChain>
</file>

<file path=xl/sharedStrings.xml><?xml version="1.0" encoding="utf-8"?>
<sst xmlns="http://schemas.openxmlformats.org/spreadsheetml/2006/main" count="270" uniqueCount="177">
  <si>
    <t>PLANILHA DE INDICADORES</t>
  </si>
  <si>
    <t>Cada aba traz indicadores de uma area, com formulas prontas do Excel.</t>
  </si>
  <si>
    <t>Aba</t>
  </si>
  <si>
    <t>Conteudo</t>
  </si>
  <si>
    <t>Financeiro</t>
  </si>
  <si>
    <t>Liquidez, Rentabilidade, Endividamento, Giro</t>
  </si>
  <si>
    <t>Operacional</t>
  </si>
  <si>
    <t>OEE, Taxa de Refugo</t>
  </si>
  <si>
    <t>Comercial</t>
  </si>
  <si>
    <t>Conversao, CAC, LTV</t>
  </si>
  <si>
    <t>RH</t>
  </si>
  <si>
    <t>Turnover, Absenteismo</t>
  </si>
  <si>
    <t>Qualidade</t>
  </si>
  <si>
    <t>NPS, SLA, Taxa de Reclamacoes</t>
  </si>
  <si>
    <t>Logistica</t>
  </si>
  <si>
    <t>OTIF, Custo Logistico, Acuracidade de Estoque</t>
  </si>
  <si>
    <t>TI</t>
  </si>
  <si>
    <t>Uptime, MTTR, MTBF</t>
  </si>
  <si>
    <t>ESG</t>
  </si>
  <si>
    <t>Intensidade de consumo</t>
  </si>
  <si>
    <t>Indicador</t>
  </si>
  <si>
    <t>O que mede (logica)</t>
  </si>
  <si>
    <t>Variavel 1</t>
  </si>
  <si>
    <t>Valor 1</t>
  </si>
  <si>
    <t>Variavel 2</t>
  </si>
  <si>
    <t>Valor 2</t>
  </si>
  <si>
    <t>Variavel 3</t>
  </si>
  <si>
    <t>Valor 3</t>
  </si>
  <si>
    <t>Formula aplicada</t>
  </si>
  <si>
    <t>Resultado</t>
  </si>
  <si>
    <t>Referencia / Meta</t>
  </si>
  <si>
    <t>Liquidez Corrente</t>
  </si>
  <si>
    <t>Capacidade de pagar dividas de curto prazo</t>
  </si>
  <si>
    <t>Ativo Circulante</t>
  </si>
  <si>
    <t>Passivo Circulante</t>
  </si>
  <si>
    <t>Ativo Circulante / Passivo Circulante</t>
  </si>
  <si>
    <t>Maior que 1,0 indica folga de caixa</t>
  </si>
  <si>
    <t>Liquidez Seca</t>
  </si>
  <si>
    <t>Liquidez desconsiderando estoques (menos liquidos)</t>
  </si>
  <si>
    <t>Estoques</t>
  </si>
  <si>
    <t>(Ativo Circulante - Estoques) / Passivo Circulante</t>
  </si>
  <si>
    <t>Maior que 1,0 e ideal</t>
  </si>
  <si>
    <t>ROI</t>
  </si>
  <si>
    <t>Retorno sobre o investimento realizado</t>
  </si>
  <si>
    <t>Ganho Obtido</t>
  </si>
  <si>
    <t>Investimento</t>
  </si>
  <si>
    <t>(Ganho - Investimento) / Investimento x 100</t>
  </si>
  <si>
    <t>Comparar com custo de capital</t>
  </si>
  <si>
    <t>ROE</t>
  </si>
  <si>
    <t>Retorno sobre o patrimonio dos socios</t>
  </si>
  <si>
    <t>Lucro Liquido</t>
  </si>
  <si>
    <t>Patrimonio Liquido</t>
  </si>
  <si>
    <t>Lucro Liquido / Patrimonio Liquido x 100</t>
  </si>
  <si>
    <t>Comparar com media do setor</t>
  </si>
  <si>
    <t>Margem EBITDA</t>
  </si>
  <si>
    <t>Geracao de caixa operacional sobre receita</t>
  </si>
  <si>
    <t>EBITDA</t>
  </si>
  <si>
    <t>Receita Liquida</t>
  </si>
  <si>
    <t>EBITDA / Receita Liquida x 100</t>
  </si>
  <si>
    <t>Quanto maior, melhor</t>
  </si>
  <si>
    <t>Grau de Endividamento</t>
  </si>
  <si>
    <t>Dependencia de capital de terceiros</t>
  </si>
  <si>
    <t>Passivo Total</t>
  </si>
  <si>
    <t>Ativo Total</t>
  </si>
  <si>
    <t>Passivo Total / Ativo Total x 100</t>
  </si>
  <si>
    <t>Quanto menor, menor o risco</t>
  </si>
  <si>
    <t>Giro de Estoque</t>
  </si>
  <si>
    <t>Velocidade de renovacao do estoque</t>
  </si>
  <si>
    <t>CMV</t>
  </si>
  <si>
    <t>Estoque Medio</t>
  </si>
  <si>
    <t>CMV / Estoque Medio</t>
  </si>
  <si>
    <t>Quanto maior, mais eficiente</t>
  </si>
  <si>
    <t>Prazo Medio de Recebimento</t>
  </si>
  <si>
    <t>Dias para receber vendas a prazo</t>
  </si>
  <si>
    <t>Contas a Receber</t>
  </si>
  <si>
    <t>Receita</t>
  </si>
  <si>
    <t>(Contas a Receber / Receita) x 365</t>
  </si>
  <si>
    <t>Quanto menor, melhor o caixa</t>
  </si>
  <si>
    <t>Como usar: substitua os valores nas celulas amarelas pelos seus proprios numeros. O resultado (coluna Resultado) recalcula automaticamente.</t>
  </si>
  <si>
    <t>OEE</t>
  </si>
  <si>
    <t>Eficiencia global do equipamento (3 fatores multiplicados)</t>
  </si>
  <si>
    <t>Disponibilidade (%)</t>
  </si>
  <si>
    <t>Performance (%)</t>
  </si>
  <si>
    <t>Qualidade (%)</t>
  </si>
  <si>
    <t>Disponibilidade x Performance x Qualidade</t>
  </si>
  <si>
    <t>Acima de 85% e classe mundial</t>
  </si>
  <si>
    <t>Taxa de Refugo</t>
  </si>
  <si>
    <t>Percentual de unidades descartadas por defeito</t>
  </si>
  <si>
    <t>Unidades Refugadas</t>
  </si>
  <si>
    <t>Total Produzido</t>
  </si>
  <si>
    <t>Unidades Refugadas / Total Produzido x 100</t>
  </si>
  <si>
    <t>Quanto menor, melhor</t>
  </si>
  <si>
    <t>Taxa de Conversao</t>
  </si>
  <si>
    <t>Percentual de leads que viram clientes</t>
  </si>
  <si>
    <t>Conversoes</t>
  </si>
  <si>
    <t>Oportunidades</t>
  </si>
  <si>
    <t>Conversoes / Oportunidades x 100</t>
  </si>
  <si>
    <t>CAC</t>
  </si>
  <si>
    <t>Custo para adquirir um cliente novo</t>
  </si>
  <si>
    <t>Invest. Vendas/Mkt</t>
  </si>
  <si>
    <t>Clientes Adquiridos</t>
  </si>
  <si>
    <t>Investimento / Numero de Clientes</t>
  </si>
  <si>
    <t>Comparar sempre com o LTV</t>
  </si>
  <si>
    <t>LTV</t>
  </si>
  <si>
    <t>Valor total esperado de um cliente ao longo do tempo</t>
  </si>
  <si>
    <t>Ticket Medio</t>
  </si>
  <si>
    <t>Freq. Compra/Ano</t>
  </si>
  <si>
    <t>Anos de Retencao</t>
  </si>
  <si>
    <t>Ticket Medio x Frequencia x Anos de Retencao</t>
  </si>
  <si>
    <t>LTV / CAC &gt; 3 e saudavel</t>
  </si>
  <si>
    <t>Turnover</t>
  </si>
  <si>
    <t>Rotatividade de pessoal no periodo</t>
  </si>
  <si>
    <t>Admissoes</t>
  </si>
  <si>
    <t>Desligamentos</t>
  </si>
  <si>
    <t>Total Funcionarios</t>
  </si>
  <si>
    <t>((Admissoes+Desligamentos)/2) / Total Funcionarios x 100</t>
  </si>
  <si>
    <t>Absenteismo</t>
  </si>
  <si>
    <t>Ausencias nao planejadas sobre o total de horas</t>
  </si>
  <si>
    <t>Horas Perdidas</t>
  </si>
  <si>
    <t>Horas Totais Previstas</t>
  </si>
  <si>
    <t>Horas Perdidas / Horas Totais Previstas x 100</t>
  </si>
  <si>
    <t>NPS</t>
  </si>
  <si>
    <t>Lealdade do cliente via segmentacao de respostas</t>
  </si>
  <si>
    <t>% Promotores</t>
  </si>
  <si>
    <t>% Detratores</t>
  </si>
  <si>
    <t>% Promotores - % Detratores</t>
  </si>
  <si>
    <t>Acima de 50 e excelente</t>
  </si>
  <si>
    <t>SLA Cumprido</t>
  </si>
  <si>
    <t>Percentual de atendimentos dentro do prazo</t>
  </si>
  <si>
    <t>Atendidos no Prazo</t>
  </si>
  <si>
    <t>Total de Chamados</t>
  </si>
  <si>
    <t>Atendidos no Prazo / Total x 100</t>
  </si>
  <si>
    <t>Conforme contrato (ex: 95%)</t>
  </si>
  <si>
    <t>Taxa de Reclamacoes</t>
  </si>
  <si>
    <t>Volume de reclamacoes por volume de transacoes</t>
  </si>
  <si>
    <t>Reclamacoes</t>
  </si>
  <si>
    <t>Total de Transacoes</t>
  </si>
  <si>
    <t>Reclamacoes / Total de Transacoes x 100</t>
  </si>
  <si>
    <t>OTIF</t>
  </si>
  <si>
    <t>Entregas no prazo E completas ao mesmo tempo</t>
  </si>
  <si>
    <t>Entregas OT+IF</t>
  </si>
  <si>
    <t>Total de Entregas</t>
  </si>
  <si>
    <t>Entregas OT+IF / Total de Entregas x 100</t>
  </si>
  <si>
    <t>Acima de 95% e otimo</t>
  </si>
  <si>
    <t>Custo Logistico / Vendas</t>
  </si>
  <si>
    <t>Peso da logistica na receita</t>
  </si>
  <si>
    <t>Custo Logistico Total</t>
  </si>
  <si>
    <t>Receita Total</t>
  </si>
  <si>
    <t>Custo Logistico Total / Receita Total x 100</t>
  </si>
  <si>
    <t>Acuracidade de Estoque</t>
  </si>
  <si>
    <t>Confiabilidade do sistema vs. contagem fisica</t>
  </si>
  <si>
    <t>Itens Corretos</t>
  </si>
  <si>
    <t>Total de Itens Contados</t>
  </si>
  <si>
    <t>Itens Corretos / Total Contado x 100</t>
  </si>
  <si>
    <t>Acima de 98% e ideal</t>
  </si>
  <si>
    <t>Uptime</t>
  </si>
  <si>
    <t>Percentual do tempo em que o sistema esteve disponivel</t>
  </si>
  <si>
    <t>Tempo Total (h)</t>
  </si>
  <si>
    <t>Tempo Indisponivel (h)</t>
  </si>
  <si>
    <t>(Tempo Total - Indisponivel) / Tempo Total x 100</t>
  </si>
  <si>
    <t>99,9% ou mais e alta disponibilidade</t>
  </si>
  <si>
    <t>MTTR</t>
  </si>
  <si>
    <t>Tempo medio para restaurar o servico apos falha</t>
  </si>
  <si>
    <t>Soma Tempo Reparo (h)</t>
  </si>
  <si>
    <t>Numero de Incidentes</t>
  </si>
  <si>
    <t>Soma do Tempo de Reparo / Numero de Incidentes</t>
  </si>
  <si>
    <t>MTBF</t>
  </si>
  <si>
    <t>Tempo medio entre uma falha e a proxima</t>
  </si>
  <si>
    <t>Tempo Total Operacao (h)</t>
  </si>
  <si>
    <t>Numero de Falhas</t>
  </si>
  <si>
    <t>Tempo Total de Operacao / Numero de Falhas</t>
  </si>
  <si>
    <t>Intensidade de Consumo</t>
  </si>
  <si>
    <t>Consumo de agua/energia normalizado pela producao</t>
  </si>
  <si>
    <t>Consumo Total</t>
  </si>
  <si>
    <t>Unidades Produzidas</t>
  </si>
  <si>
    <t>Consumo Total / Unidade Produzida</t>
  </si>
  <si>
    <t>Quanto menor, mais eficiente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</si>
</sst>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000"/>
    <numFmt numFmtId="165" formatCode="#,#00\%"/>
    <numFmt numFmtId="166" formatCode="0\ &quot;dias&quot;"/>
    <numFmt numFmtId="167" formatCode="#,000\%"/>
    <numFmt numFmtId="168" formatCode="&quot;R$&quot;\ #.##000"/>
    <numFmt numFmtId="169" formatCode="#,000\ &quot;h&quot;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1F3864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rgb="FF66666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DDEBF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 vertical="center"/>
    </xf>
    <xf numFmtId="0" fontId="4" fillId="2" borderId="1" xfId="0" applyFont="1" applyFill="1" applyBorder="1"/>
    <xf numFmtId="0" fontId="0" fillId="0" borderId="1" xfId="0" applyFont="1" applyBorder="1"/>
    <xf numFmtId="0" fontId="1" fillId="0" borderId="1" xfId="0" applyFont="1" applyBorder="1"/>
    <xf numFmtId="0" fontId="4" fillId="2" borderId="2" xfId="0" applyFont="1" applyFill="1" applyBorder="1" applyAlignment="1">
      <alignment horizontal="center" vertical="top" wrapText="1"/>
    </xf>
    <xf numFmtId="0" fontId="0" fillId="0" borderId="2" xfId="0" applyFont="1" applyBorder="1" applyAlignment="1">
      <alignment vertical="top" wrapText="1"/>
    </xf>
    <xf numFmtId="0" fontId="0" fillId="3" borderId="2" xfId="0" applyFont="1" applyFill="1" applyBorder="1" applyAlignment="1">
      <alignment vertical="top" wrapText="1"/>
    </xf>
    <xf numFmtId="164" fontId="1" fillId="4" borderId="2" xfId="0" applyNumberFormat="1" applyFont="1" applyFill="1" applyBorder="1" applyAlignment="1">
      <alignment vertical="top" wrapText="1"/>
    </xf>
    <xf numFmtId="165" fontId="1" fillId="4" borderId="2" xfId="0" applyNumberFormat="1" applyFont="1" applyFill="1" applyBorder="1" applyAlignment="1">
      <alignment vertical="top" wrapText="1"/>
    </xf>
    <xf numFmtId="166" fontId="1" fillId="4" borderId="2" xfId="0" applyNumberFormat="1" applyFont="1" applyFill="1" applyBorder="1" applyAlignment="1">
      <alignment vertical="top" wrapText="1"/>
    </xf>
    <xf numFmtId="167" fontId="1" fillId="4" borderId="2" xfId="0" applyNumberFormat="1" applyFont="1" applyFill="1" applyBorder="1" applyAlignment="1">
      <alignment vertical="top" wrapText="1"/>
    </xf>
    <xf numFmtId="168" fontId="1" fillId="4" borderId="2" xfId="0" applyNumberFormat="1" applyFont="1" applyFill="1" applyBorder="1" applyAlignment="1">
      <alignment vertical="top" wrapText="1"/>
    </xf>
    <xf numFmtId="1" fontId="1" fillId="4" borderId="2" xfId="0" applyNumberFormat="1" applyFont="1" applyFill="1" applyBorder="1" applyAlignment="1">
      <alignment vertical="top" wrapText="1"/>
    </xf>
    <xf numFmtId="169" fontId="1" fillId="4" borderId="2" xfId="0" applyNumberFormat="1" applyFont="1" applyFill="1" applyBorder="1" applyAlignment="1">
      <alignment vertical="top" wrapText="1"/>
    </xf>
    <xf numFmtId="0" fontId="5" fillId="0" borderId="0" xfId="0" applyFont="1" applyAlignment="1">
      <alignment wrapText="1"/>
    </xf>
    <xf numFmtId="0" fontId="0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/>
  </sheetViews>
  <sheetFormatPr defaultRowHeight="14.4" x14ac:dyDescent="0.3"/>
  <cols>
    <col min="1" max="1" width="8.88671875" style="1"/>
    <col min="2" max="2" width="20.77734375" style="1" customWidth="1"/>
    <col min="3" max="3" width="55.77734375" style="1" customWidth="1"/>
    <col min="4" max="16384" width="8.88671875" style="1"/>
  </cols>
  <sheetData>
    <row r="1" spans="1:3" ht="22.05" customHeight="1" x14ac:dyDescent="0.3">
      <c r="A1" s="4"/>
      <c r="B1" s="4"/>
      <c r="C1" s="4"/>
    </row>
    <row r="2" spans="1:3" ht="28.8" x14ac:dyDescent="0.55000000000000004">
      <c r="B2" s="2" t="s">
        <v>0</v>
      </c>
    </row>
    <row r="4" spans="1:3" ht="15.6" x14ac:dyDescent="0.3">
      <c r="B4" s="3" t="s">
        <v>1</v>
      </c>
    </row>
    <row r="6" spans="1:3" x14ac:dyDescent="0.3">
      <c r="B6" s="5" t="s">
        <v>2</v>
      </c>
      <c r="C6" s="5" t="s">
        <v>3</v>
      </c>
    </row>
    <row r="7" spans="1:3" x14ac:dyDescent="0.3">
      <c r="B7" s="7" t="s">
        <v>4</v>
      </c>
      <c r="C7" s="6" t="s">
        <v>5</v>
      </c>
    </row>
    <row r="8" spans="1:3" x14ac:dyDescent="0.3">
      <c r="B8" s="7" t="s">
        <v>6</v>
      </c>
      <c r="C8" s="6" t="s">
        <v>7</v>
      </c>
    </row>
    <row r="9" spans="1:3" x14ac:dyDescent="0.3">
      <c r="B9" s="7" t="s">
        <v>8</v>
      </c>
      <c r="C9" s="6" t="s">
        <v>9</v>
      </c>
    </row>
    <row r="10" spans="1:3" x14ac:dyDescent="0.3">
      <c r="B10" s="7" t="s">
        <v>10</v>
      </c>
      <c r="C10" s="6" t="s">
        <v>11</v>
      </c>
    </row>
    <row r="11" spans="1:3" x14ac:dyDescent="0.3">
      <c r="B11" s="7" t="s">
        <v>12</v>
      </c>
      <c r="C11" s="6" t="s">
        <v>13</v>
      </c>
    </row>
    <row r="12" spans="1:3" x14ac:dyDescent="0.3">
      <c r="B12" s="7" t="s">
        <v>14</v>
      </c>
      <c r="C12" s="6" t="s">
        <v>15</v>
      </c>
    </row>
    <row r="13" spans="1:3" x14ac:dyDescent="0.3">
      <c r="B13" s="7" t="s">
        <v>16</v>
      </c>
      <c r="C13" s="6" t="s">
        <v>17</v>
      </c>
    </row>
    <row r="14" spans="1:3" x14ac:dyDescent="0.3">
      <c r="B14" s="7" t="s">
        <v>18</v>
      </c>
      <c r="C14" s="6" t="s">
        <v>19</v>
      </c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tabSelected="1"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22.77734375" style="1" customWidth="1"/>
    <col min="2" max="2" width="45.77734375" style="1" customWidth="1"/>
    <col min="3" max="3" width="20.77734375" style="1" customWidth="1"/>
    <col min="4" max="4" width="12.77734375" style="1" customWidth="1"/>
    <col min="5" max="5" width="20.77734375" style="1" customWidth="1"/>
    <col min="6" max="6" width="12.77734375" style="1" customWidth="1"/>
    <col min="7" max="7" width="20.77734375" style="1" customWidth="1"/>
    <col min="8" max="8" width="12.77734375" style="1" customWidth="1"/>
    <col min="9" max="9" width="30.77734375" style="1" customWidth="1"/>
    <col min="10" max="10" width="14.77734375" style="1" customWidth="1"/>
    <col min="11" max="11" width="28.77734375" style="1" customWidth="1"/>
    <col min="12" max="16384" width="8.88671875" style="1"/>
  </cols>
  <sheetData>
    <row r="1" spans="1:11" ht="30" customHeight="1" x14ac:dyDescent="0.3">
      <c r="A1" s="8" t="s">
        <v>20</v>
      </c>
      <c r="B1" s="8" t="s">
        <v>21</v>
      </c>
      <c r="C1" s="8" t="s">
        <v>22</v>
      </c>
      <c r="D1" s="8" t="s">
        <v>23</v>
      </c>
      <c r="E1" s="8" t="s">
        <v>24</v>
      </c>
      <c r="F1" s="8" t="s">
        <v>25</v>
      </c>
      <c r="G1" s="8" t="s">
        <v>26</v>
      </c>
      <c r="H1" s="8" t="s">
        <v>27</v>
      </c>
      <c r="I1" s="8" t="s">
        <v>28</v>
      </c>
      <c r="J1" s="8" t="s">
        <v>29</v>
      </c>
      <c r="K1" s="8" t="s">
        <v>30</v>
      </c>
    </row>
    <row r="2" spans="1:11" ht="45" customHeight="1" x14ac:dyDescent="0.3">
      <c r="A2" s="9" t="s">
        <v>31</v>
      </c>
      <c r="B2" s="9" t="s">
        <v>32</v>
      </c>
      <c r="C2" s="9" t="s">
        <v>33</v>
      </c>
      <c r="D2" s="10">
        <v>150000</v>
      </c>
      <c r="E2" s="9" t="s">
        <v>34</v>
      </c>
      <c r="F2" s="10">
        <v>90000</v>
      </c>
      <c r="G2" s="9"/>
      <c r="H2" s="9"/>
      <c r="I2" s="9" t="s">
        <v>35</v>
      </c>
      <c r="J2" s="11">
        <f>D2/F2</f>
        <v>1.6666666666666667</v>
      </c>
      <c r="K2" s="9" t="s">
        <v>36</v>
      </c>
    </row>
    <row r="3" spans="1:11" ht="45" customHeight="1" x14ac:dyDescent="0.3">
      <c r="A3" s="9" t="s">
        <v>37</v>
      </c>
      <c r="B3" s="9" t="s">
        <v>38</v>
      </c>
      <c r="C3" s="9" t="s">
        <v>33</v>
      </c>
      <c r="D3" s="10">
        <v>150000</v>
      </c>
      <c r="E3" s="9" t="s">
        <v>39</v>
      </c>
      <c r="F3" s="10">
        <v>30000</v>
      </c>
      <c r="G3" s="9" t="s">
        <v>34</v>
      </c>
      <c r="H3" s="10">
        <v>90000</v>
      </c>
      <c r="I3" s="9" t="s">
        <v>40</v>
      </c>
      <c r="J3" s="11">
        <f>(D3-F3)/H3</f>
        <v>1.3333333333333333</v>
      </c>
      <c r="K3" s="9" t="s">
        <v>41</v>
      </c>
    </row>
    <row r="4" spans="1:11" ht="45" customHeight="1" x14ac:dyDescent="0.3">
      <c r="A4" s="9" t="s">
        <v>42</v>
      </c>
      <c r="B4" s="9" t="s">
        <v>43</v>
      </c>
      <c r="C4" s="9" t="s">
        <v>44</v>
      </c>
      <c r="D4" s="10">
        <v>50000</v>
      </c>
      <c r="E4" s="9" t="s">
        <v>45</v>
      </c>
      <c r="F4" s="10">
        <v>40000</v>
      </c>
      <c r="G4" s="9"/>
      <c r="H4" s="9"/>
      <c r="I4" s="9" t="s">
        <v>46</v>
      </c>
      <c r="J4" s="12">
        <f>(D4-F4)/F4*100</f>
        <v>25</v>
      </c>
      <c r="K4" s="9" t="s">
        <v>47</v>
      </c>
    </row>
    <row r="5" spans="1:11" ht="45" customHeight="1" x14ac:dyDescent="0.3">
      <c r="A5" s="9" t="s">
        <v>48</v>
      </c>
      <c r="B5" s="9" t="s">
        <v>49</v>
      </c>
      <c r="C5" s="9" t="s">
        <v>50</v>
      </c>
      <c r="D5" s="10">
        <v>80000</v>
      </c>
      <c r="E5" s="9" t="s">
        <v>51</v>
      </c>
      <c r="F5" s="10">
        <v>400000</v>
      </c>
      <c r="G5" s="9"/>
      <c r="H5" s="9"/>
      <c r="I5" s="9" t="s">
        <v>52</v>
      </c>
      <c r="J5" s="12">
        <f>D5/F5*100</f>
        <v>20</v>
      </c>
      <c r="K5" s="9" t="s">
        <v>53</v>
      </c>
    </row>
    <row r="6" spans="1:11" ht="45" customHeight="1" x14ac:dyDescent="0.3">
      <c r="A6" s="9" t="s">
        <v>54</v>
      </c>
      <c r="B6" s="9" t="s">
        <v>55</v>
      </c>
      <c r="C6" s="9" t="s">
        <v>56</v>
      </c>
      <c r="D6" s="10">
        <v>120000</v>
      </c>
      <c r="E6" s="9" t="s">
        <v>57</v>
      </c>
      <c r="F6" s="10">
        <v>600000</v>
      </c>
      <c r="G6" s="9"/>
      <c r="H6" s="9"/>
      <c r="I6" s="9" t="s">
        <v>58</v>
      </c>
      <c r="J6" s="12">
        <f>D6/F6*100</f>
        <v>20</v>
      </c>
      <c r="K6" s="9" t="s">
        <v>59</v>
      </c>
    </row>
    <row r="7" spans="1:11" ht="45" customHeight="1" x14ac:dyDescent="0.3">
      <c r="A7" s="9" t="s">
        <v>60</v>
      </c>
      <c r="B7" s="9" t="s">
        <v>61</v>
      </c>
      <c r="C7" s="9" t="s">
        <v>62</v>
      </c>
      <c r="D7" s="10">
        <v>250000</v>
      </c>
      <c r="E7" s="9" t="s">
        <v>63</v>
      </c>
      <c r="F7" s="10">
        <v>500000</v>
      </c>
      <c r="G7" s="9"/>
      <c r="H7" s="9"/>
      <c r="I7" s="9" t="s">
        <v>64</v>
      </c>
      <c r="J7" s="12">
        <f>D7/F7*100</f>
        <v>50</v>
      </c>
      <c r="K7" s="9" t="s">
        <v>65</v>
      </c>
    </row>
    <row r="8" spans="1:11" ht="45" customHeight="1" x14ac:dyDescent="0.3">
      <c r="A8" s="9" t="s">
        <v>66</v>
      </c>
      <c r="B8" s="9" t="s">
        <v>67</v>
      </c>
      <c r="C8" s="9" t="s">
        <v>68</v>
      </c>
      <c r="D8" s="10">
        <v>300000</v>
      </c>
      <c r="E8" s="9" t="s">
        <v>69</v>
      </c>
      <c r="F8" s="10">
        <v>50000</v>
      </c>
      <c r="G8" s="9"/>
      <c r="H8" s="9"/>
      <c r="I8" s="9" t="s">
        <v>70</v>
      </c>
      <c r="J8" s="11">
        <f>D8/F8</f>
        <v>6</v>
      </c>
      <c r="K8" s="9" t="s">
        <v>71</v>
      </c>
    </row>
    <row r="9" spans="1:11" ht="45" customHeight="1" x14ac:dyDescent="0.3">
      <c r="A9" s="9" t="s">
        <v>72</v>
      </c>
      <c r="B9" s="9" t="s">
        <v>73</v>
      </c>
      <c r="C9" s="9" t="s">
        <v>74</v>
      </c>
      <c r="D9" s="10">
        <v>60000</v>
      </c>
      <c r="E9" s="9" t="s">
        <v>75</v>
      </c>
      <c r="F9" s="10">
        <v>600000</v>
      </c>
      <c r="G9" s="9"/>
      <c r="H9" s="9"/>
      <c r="I9" s="9" t="s">
        <v>76</v>
      </c>
      <c r="J9" s="13">
        <f>D9/F9*365</f>
        <v>36.5</v>
      </c>
      <c r="K9" s="9" t="s">
        <v>77</v>
      </c>
    </row>
    <row r="11" spans="1:11" ht="28.05" customHeight="1" x14ac:dyDescent="0.3">
      <c r="A11" s="18" t="s">
        <v>78</v>
      </c>
      <c r="B11" s="19"/>
      <c r="C11" s="19"/>
      <c r="D11" s="19"/>
      <c r="E11" s="19"/>
      <c r="F11" s="19"/>
      <c r="G11" s="19"/>
      <c r="H11" s="19"/>
      <c r="I11" s="19"/>
      <c r="J11" s="19"/>
      <c r="K11" s="19"/>
    </row>
  </sheetData>
  <mergeCells count="1">
    <mergeCell ref="A11:K1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22.77734375" style="1" customWidth="1"/>
    <col min="2" max="2" width="45.77734375" style="1" customWidth="1"/>
    <col min="3" max="3" width="20.77734375" style="1" customWidth="1"/>
    <col min="4" max="4" width="12.77734375" style="1" customWidth="1"/>
    <col min="5" max="5" width="20.77734375" style="1" customWidth="1"/>
    <col min="6" max="6" width="12.77734375" style="1" customWidth="1"/>
    <col min="7" max="7" width="20.77734375" style="1" customWidth="1"/>
    <col min="8" max="8" width="12.77734375" style="1" customWidth="1"/>
    <col min="9" max="9" width="30.77734375" style="1" customWidth="1"/>
    <col min="10" max="10" width="14.77734375" style="1" customWidth="1"/>
    <col min="11" max="11" width="28.77734375" style="1" customWidth="1"/>
    <col min="12" max="16384" width="8.88671875" style="1"/>
  </cols>
  <sheetData>
    <row r="1" spans="1:11" ht="30" customHeight="1" x14ac:dyDescent="0.3">
      <c r="A1" s="8" t="s">
        <v>20</v>
      </c>
      <c r="B1" s="8" t="s">
        <v>21</v>
      </c>
      <c r="C1" s="8" t="s">
        <v>22</v>
      </c>
      <c r="D1" s="8" t="s">
        <v>23</v>
      </c>
      <c r="E1" s="8" t="s">
        <v>24</v>
      </c>
      <c r="F1" s="8" t="s">
        <v>25</v>
      </c>
      <c r="G1" s="8" t="s">
        <v>26</v>
      </c>
      <c r="H1" s="8" t="s">
        <v>27</v>
      </c>
      <c r="I1" s="8" t="s">
        <v>28</v>
      </c>
      <c r="J1" s="8" t="s">
        <v>29</v>
      </c>
      <c r="K1" s="8" t="s">
        <v>30</v>
      </c>
    </row>
    <row r="2" spans="1:11" ht="45" customHeight="1" x14ac:dyDescent="0.3">
      <c r="A2" s="9" t="s">
        <v>79</v>
      </c>
      <c r="B2" s="9" t="s">
        <v>80</v>
      </c>
      <c r="C2" s="9" t="s">
        <v>81</v>
      </c>
      <c r="D2" s="10">
        <v>90</v>
      </c>
      <c r="E2" s="9" t="s">
        <v>82</v>
      </c>
      <c r="F2" s="10">
        <v>85</v>
      </c>
      <c r="G2" s="9" t="s">
        <v>83</v>
      </c>
      <c r="H2" s="10">
        <v>95</v>
      </c>
      <c r="I2" s="9" t="s">
        <v>84</v>
      </c>
      <c r="J2" s="12">
        <f>(D2/100)*(F2/100)*(H2/100)*100</f>
        <v>72.674999999999997</v>
      </c>
      <c r="K2" s="9" t="s">
        <v>85</v>
      </c>
    </row>
    <row r="3" spans="1:11" ht="45" customHeight="1" x14ac:dyDescent="0.3">
      <c r="A3" s="9" t="s">
        <v>86</v>
      </c>
      <c r="B3" s="9" t="s">
        <v>87</v>
      </c>
      <c r="C3" s="9" t="s">
        <v>88</v>
      </c>
      <c r="D3" s="10">
        <v>40</v>
      </c>
      <c r="E3" s="9" t="s">
        <v>89</v>
      </c>
      <c r="F3" s="10">
        <v>2000</v>
      </c>
      <c r="G3" s="9"/>
      <c r="H3" s="9"/>
      <c r="I3" s="9" t="s">
        <v>90</v>
      </c>
      <c r="J3" s="14">
        <f>D3/F3*100</f>
        <v>2</v>
      </c>
      <c r="K3" s="9" t="s">
        <v>91</v>
      </c>
    </row>
    <row r="5" spans="1:11" ht="28.05" customHeight="1" x14ac:dyDescent="0.3">
      <c r="A5" s="18" t="s">
        <v>78</v>
      </c>
      <c r="B5" s="19"/>
      <c r="C5" s="19"/>
      <c r="D5" s="19"/>
      <c r="E5" s="19"/>
      <c r="F5" s="19"/>
      <c r="G5" s="19"/>
      <c r="H5" s="19"/>
      <c r="I5" s="19"/>
      <c r="J5" s="19"/>
      <c r="K5" s="19"/>
    </row>
  </sheetData>
  <mergeCells count="1">
    <mergeCell ref="A5:K5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22.77734375" style="1" customWidth="1"/>
    <col min="2" max="2" width="45.77734375" style="1" customWidth="1"/>
    <col min="3" max="3" width="20.77734375" style="1" customWidth="1"/>
    <col min="4" max="4" width="12.77734375" style="1" customWidth="1"/>
    <col min="5" max="5" width="20.77734375" style="1" customWidth="1"/>
    <col min="6" max="6" width="12.77734375" style="1" customWidth="1"/>
    <col min="7" max="7" width="20.77734375" style="1" customWidth="1"/>
    <col min="8" max="8" width="12.77734375" style="1" customWidth="1"/>
    <col min="9" max="9" width="30.77734375" style="1" customWidth="1"/>
    <col min="10" max="10" width="14.77734375" style="1" customWidth="1"/>
    <col min="11" max="11" width="28.77734375" style="1" customWidth="1"/>
    <col min="12" max="16384" width="8.88671875" style="1"/>
  </cols>
  <sheetData>
    <row r="1" spans="1:11" ht="30" customHeight="1" x14ac:dyDescent="0.3">
      <c r="A1" s="8" t="s">
        <v>20</v>
      </c>
      <c r="B1" s="8" t="s">
        <v>21</v>
      </c>
      <c r="C1" s="8" t="s">
        <v>22</v>
      </c>
      <c r="D1" s="8" t="s">
        <v>23</v>
      </c>
      <c r="E1" s="8" t="s">
        <v>24</v>
      </c>
      <c r="F1" s="8" t="s">
        <v>25</v>
      </c>
      <c r="G1" s="8" t="s">
        <v>26</v>
      </c>
      <c r="H1" s="8" t="s">
        <v>27</v>
      </c>
      <c r="I1" s="8" t="s">
        <v>28</v>
      </c>
      <c r="J1" s="8" t="s">
        <v>29</v>
      </c>
      <c r="K1" s="8" t="s">
        <v>30</v>
      </c>
    </row>
    <row r="2" spans="1:11" ht="45" customHeight="1" x14ac:dyDescent="0.3">
      <c r="A2" s="9" t="s">
        <v>92</v>
      </c>
      <c r="B2" s="9" t="s">
        <v>93</v>
      </c>
      <c r="C2" s="9" t="s">
        <v>94</v>
      </c>
      <c r="D2" s="10">
        <v>25</v>
      </c>
      <c r="E2" s="9" t="s">
        <v>95</v>
      </c>
      <c r="F2" s="10">
        <v>200</v>
      </c>
      <c r="G2" s="9"/>
      <c r="H2" s="9"/>
      <c r="I2" s="9" t="s">
        <v>96</v>
      </c>
      <c r="J2" s="12">
        <f>D2/F2*100</f>
        <v>12.5</v>
      </c>
      <c r="K2" s="9" t="s">
        <v>59</v>
      </c>
    </row>
    <row r="3" spans="1:11" ht="45" customHeight="1" x14ac:dyDescent="0.3">
      <c r="A3" s="9" t="s">
        <v>97</v>
      </c>
      <c r="B3" s="9" t="s">
        <v>98</v>
      </c>
      <c r="C3" s="9" t="s">
        <v>99</v>
      </c>
      <c r="D3" s="10">
        <v>50000</v>
      </c>
      <c r="E3" s="9" t="s">
        <v>100</v>
      </c>
      <c r="F3" s="10">
        <v>100</v>
      </c>
      <c r="G3" s="9"/>
      <c r="H3" s="9"/>
      <c r="I3" s="9" t="s">
        <v>101</v>
      </c>
      <c r="J3" s="15">
        <f>D3/F3</f>
        <v>500</v>
      </c>
      <c r="K3" s="9" t="s">
        <v>102</v>
      </c>
    </row>
    <row r="4" spans="1:11" ht="45" customHeight="1" x14ac:dyDescent="0.3">
      <c r="A4" s="9" t="s">
        <v>103</v>
      </c>
      <c r="B4" s="9" t="s">
        <v>104</v>
      </c>
      <c r="C4" s="9" t="s">
        <v>105</v>
      </c>
      <c r="D4" s="10">
        <v>300</v>
      </c>
      <c r="E4" s="9" t="s">
        <v>106</v>
      </c>
      <c r="F4" s="10">
        <v>4</v>
      </c>
      <c r="G4" s="9" t="s">
        <v>107</v>
      </c>
      <c r="H4" s="10">
        <v>3</v>
      </c>
      <c r="I4" s="9" t="s">
        <v>108</v>
      </c>
      <c r="J4" s="15">
        <f>D4*F4*H4</f>
        <v>3600</v>
      </c>
      <c r="K4" s="9" t="s">
        <v>109</v>
      </c>
    </row>
    <row r="6" spans="1:11" ht="28.05" customHeight="1" x14ac:dyDescent="0.3">
      <c r="A6" s="18" t="s">
        <v>78</v>
      </c>
      <c r="B6" s="19"/>
      <c r="C6" s="19"/>
      <c r="D6" s="19"/>
      <c r="E6" s="19"/>
      <c r="F6" s="19"/>
      <c r="G6" s="19"/>
      <c r="H6" s="19"/>
      <c r="I6" s="19"/>
      <c r="J6" s="19"/>
      <c r="K6" s="19"/>
    </row>
  </sheetData>
  <mergeCells count="1">
    <mergeCell ref="A6:K6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22.77734375" style="1" customWidth="1"/>
    <col min="2" max="2" width="45.77734375" style="1" customWidth="1"/>
    <col min="3" max="3" width="20.77734375" style="1" customWidth="1"/>
    <col min="4" max="4" width="12.77734375" style="1" customWidth="1"/>
    <col min="5" max="5" width="20.77734375" style="1" customWidth="1"/>
    <col min="6" max="6" width="12.77734375" style="1" customWidth="1"/>
    <col min="7" max="7" width="20.77734375" style="1" customWidth="1"/>
    <col min="8" max="8" width="12.77734375" style="1" customWidth="1"/>
    <col min="9" max="9" width="30.77734375" style="1" customWidth="1"/>
    <col min="10" max="10" width="14.77734375" style="1" customWidth="1"/>
    <col min="11" max="11" width="28.77734375" style="1" customWidth="1"/>
    <col min="12" max="16384" width="8.88671875" style="1"/>
  </cols>
  <sheetData>
    <row r="1" spans="1:11" ht="30" customHeight="1" x14ac:dyDescent="0.3">
      <c r="A1" s="8" t="s">
        <v>20</v>
      </c>
      <c r="B1" s="8" t="s">
        <v>21</v>
      </c>
      <c r="C1" s="8" t="s">
        <v>22</v>
      </c>
      <c r="D1" s="8" t="s">
        <v>23</v>
      </c>
      <c r="E1" s="8" t="s">
        <v>24</v>
      </c>
      <c r="F1" s="8" t="s">
        <v>25</v>
      </c>
      <c r="G1" s="8" t="s">
        <v>26</v>
      </c>
      <c r="H1" s="8" t="s">
        <v>27</v>
      </c>
      <c r="I1" s="8" t="s">
        <v>28</v>
      </c>
      <c r="J1" s="8" t="s">
        <v>29</v>
      </c>
      <c r="K1" s="8" t="s">
        <v>30</v>
      </c>
    </row>
    <row r="2" spans="1:11" ht="45" customHeight="1" x14ac:dyDescent="0.3">
      <c r="A2" s="9" t="s">
        <v>110</v>
      </c>
      <c r="B2" s="9" t="s">
        <v>111</v>
      </c>
      <c r="C2" s="9" t="s">
        <v>112</v>
      </c>
      <c r="D2" s="10">
        <v>8</v>
      </c>
      <c r="E2" s="9" t="s">
        <v>113</v>
      </c>
      <c r="F2" s="10">
        <v>12</v>
      </c>
      <c r="G2" s="9" t="s">
        <v>114</v>
      </c>
      <c r="H2" s="10">
        <v>200</v>
      </c>
      <c r="I2" s="9" t="s">
        <v>115</v>
      </c>
      <c r="J2" s="12">
        <f>((D2+F2)/2)/H2*100</f>
        <v>5</v>
      </c>
      <c r="K2" s="9" t="s">
        <v>53</v>
      </c>
    </row>
    <row r="3" spans="1:11" ht="45" customHeight="1" x14ac:dyDescent="0.3">
      <c r="A3" s="9" t="s">
        <v>116</v>
      </c>
      <c r="B3" s="9" t="s">
        <v>117</v>
      </c>
      <c r="C3" s="9" t="s">
        <v>118</v>
      </c>
      <c r="D3" s="10">
        <v>320</v>
      </c>
      <c r="E3" s="9" t="s">
        <v>119</v>
      </c>
      <c r="F3" s="10">
        <v>16000</v>
      </c>
      <c r="G3" s="9"/>
      <c r="H3" s="9"/>
      <c r="I3" s="9" t="s">
        <v>120</v>
      </c>
      <c r="J3" s="14">
        <f>D3/F3*100</f>
        <v>2</v>
      </c>
      <c r="K3" s="9" t="s">
        <v>91</v>
      </c>
    </row>
    <row r="5" spans="1:11" ht="28.05" customHeight="1" x14ac:dyDescent="0.3">
      <c r="A5" s="18" t="s">
        <v>78</v>
      </c>
      <c r="B5" s="19"/>
      <c r="C5" s="19"/>
      <c r="D5" s="19"/>
      <c r="E5" s="19"/>
      <c r="F5" s="19"/>
      <c r="G5" s="19"/>
      <c r="H5" s="19"/>
      <c r="I5" s="19"/>
      <c r="J5" s="19"/>
      <c r="K5" s="19"/>
    </row>
  </sheetData>
  <mergeCells count="1">
    <mergeCell ref="A5:K5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22.77734375" style="1" customWidth="1"/>
    <col min="2" max="2" width="45.77734375" style="1" customWidth="1"/>
    <col min="3" max="3" width="20.77734375" style="1" customWidth="1"/>
    <col min="4" max="4" width="12.77734375" style="1" customWidth="1"/>
    <col min="5" max="5" width="20.77734375" style="1" customWidth="1"/>
    <col min="6" max="6" width="12.77734375" style="1" customWidth="1"/>
    <col min="7" max="7" width="20.77734375" style="1" customWidth="1"/>
    <col min="8" max="8" width="12.77734375" style="1" customWidth="1"/>
    <col min="9" max="9" width="30.77734375" style="1" customWidth="1"/>
    <col min="10" max="10" width="14.77734375" style="1" customWidth="1"/>
    <col min="11" max="11" width="28.77734375" style="1" customWidth="1"/>
    <col min="12" max="16384" width="8.88671875" style="1"/>
  </cols>
  <sheetData>
    <row r="1" spans="1:11" ht="30" customHeight="1" x14ac:dyDescent="0.3">
      <c r="A1" s="8" t="s">
        <v>20</v>
      </c>
      <c r="B1" s="8" t="s">
        <v>21</v>
      </c>
      <c r="C1" s="8" t="s">
        <v>22</v>
      </c>
      <c r="D1" s="8" t="s">
        <v>23</v>
      </c>
      <c r="E1" s="8" t="s">
        <v>24</v>
      </c>
      <c r="F1" s="8" t="s">
        <v>25</v>
      </c>
      <c r="G1" s="8" t="s">
        <v>26</v>
      </c>
      <c r="H1" s="8" t="s">
        <v>27</v>
      </c>
      <c r="I1" s="8" t="s">
        <v>28</v>
      </c>
      <c r="J1" s="8" t="s">
        <v>29</v>
      </c>
      <c r="K1" s="8" t="s">
        <v>30</v>
      </c>
    </row>
    <row r="2" spans="1:11" ht="45" customHeight="1" x14ac:dyDescent="0.3">
      <c r="A2" s="9" t="s">
        <v>121</v>
      </c>
      <c r="B2" s="9" t="s">
        <v>122</v>
      </c>
      <c r="C2" s="9" t="s">
        <v>123</v>
      </c>
      <c r="D2" s="10">
        <v>60</v>
      </c>
      <c r="E2" s="9" t="s">
        <v>124</v>
      </c>
      <c r="F2" s="10">
        <v>15</v>
      </c>
      <c r="G2" s="9"/>
      <c r="H2" s="9"/>
      <c r="I2" s="9" t="s">
        <v>125</v>
      </c>
      <c r="J2" s="16">
        <f>D2-F2</f>
        <v>45</v>
      </c>
      <c r="K2" s="9" t="s">
        <v>126</v>
      </c>
    </row>
    <row r="3" spans="1:11" ht="45" customHeight="1" x14ac:dyDescent="0.3">
      <c r="A3" s="9" t="s">
        <v>127</v>
      </c>
      <c r="B3" s="9" t="s">
        <v>128</v>
      </c>
      <c r="C3" s="9" t="s">
        <v>129</v>
      </c>
      <c r="D3" s="10">
        <v>470</v>
      </c>
      <c r="E3" s="9" t="s">
        <v>130</v>
      </c>
      <c r="F3" s="10">
        <v>500</v>
      </c>
      <c r="G3" s="9"/>
      <c r="H3" s="9"/>
      <c r="I3" s="9" t="s">
        <v>131</v>
      </c>
      <c r="J3" s="12">
        <f>D3/F3*100</f>
        <v>94</v>
      </c>
      <c r="K3" s="9" t="s">
        <v>132</v>
      </c>
    </row>
    <row r="4" spans="1:11" ht="45" customHeight="1" x14ac:dyDescent="0.3">
      <c r="A4" s="9" t="s">
        <v>133</v>
      </c>
      <c r="B4" s="9" t="s">
        <v>134</v>
      </c>
      <c r="C4" s="9" t="s">
        <v>135</v>
      </c>
      <c r="D4" s="10">
        <v>15</v>
      </c>
      <c r="E4" s="9" t="s">
        <v>136</v>
      </c>
      <c r="F4" s="10">
        <v>5000</v>
      </c>
      <c r="G4" s="9"/>
      <c r="H4" s="9"/>
      <c r="I4" s="9" t="s">
        <v>137</v>
      </c>
      <c r="J4" s="14">
        <f>D4/F4*100</f>
        <v>0.3</v>
      </c>
      <c r="K4" s="9" t="s">
        <v>91</v>
      </c>
    </row>
    <row r="6" spans="1:11" ht="28.05" customHeight="1" x14ac:dyDescent="0.3">
      <c r="A6" s="18" t="s">
        <v>78</v>
      </c>
      <c r="B6" s="19"/>
      <c r="C6" s="19"/>
      <c r="D6" s="19"/>
      <c r="E6" s="19"/>
      <c r="F6" s="19"/>
      <c r="G6" s="19"/>
      <c r="H6" s="19"/>
      <c r="I6" s="19"/>
      <c r="J6" s="19"/>
      <c r="K6" s="19"/>
    </row>
  </sheetData>
  <mergeCells count="1">
    <mergeCell ref="A6:K6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22.77734375" style="1" customWidth="1"/>
    <col min="2" max="2" width="45.77734375" style="1" customWidth="1"/>
    <col min="3" max="3" width="20.77734375" style="1" customWidth="1"/>
    <col min="4" max="4" width="12.77734375" style="1" customWidth="1"/>
    <col min="5" max="5" width="20.77734375" style="1" customWidth="1"/>
    <col min="6" max="6" width="12.77734375" style="1" customWidth="1"/>
    <col min="7" max="7" width="20.77734375" style="1" customWidth="1"/>
    <col min="8" max="8" width="12.77734375" style="1" customWidth="1"/>
    <col min="9" max="9" width="30.77734375" style="1" customWidth="1"/>
    <col min="10" max="10" width="14.77734375" style="1" customWidth="1"/>
    <col min="11" max="11" width="28.77734375" style="1" customWidth="1"/>
    <col min="12" max="16384" width="8.88671875" style="1"/>
  </cols>
  <sheetData>
    <row r="1" spans="1:11" ht="30" customHeight="1" x14ac:dyDescent="0.3">
      <c r="A1" s="8" t="s">
        <v>20</v>
      </c>
      <c r="B1" s="8" t="s">
        <v>21</v>
      </c>
      <c r="C1" s="8" t="s">
        <v>22</v>
      </c>
      <c r="D1" s="8" t="s">
        <v>23</v>
      </c>
      <c r="E1" s="8" t="s">
        <v>24</v>
      </c>
      <c r="F1" s="8" t="s">
        <v>25</v>
      </c>
      <c r="G1" s="8" t="s">
        <v>26</v>
      </c>
      <c r="H1" s="8" t="s">
        <v>27</v>
      </c>
      <c r="I1" s="8" t="s">
        <v>28</v>
      </c>
      <c r="J1" s="8" t="s">
        <v>29</v>
      </c>
      <c r="K1" s="8" t="s">
        <v>30</v>
      </c>
    </row>
    <row r="2" spans="1:11" ht="45" customHeight="1" x14ac:dyDescent="0.3">
      <c r="A2" s="9" t="s">
        <v>138</v>
      </c>
      <c r="B2" s="9" t="s">
        <v>139</v>
      </c>
      <c r="C2" s="9" t="s">
        <v>140</v>
      </c>
      <c r="D2" s="10">
        <v>470</v>
      </c>
      <c r="E2" s="9" t="s">
        <v>141</v>
      </c>
      <c r="F2" s="10">
        <v>500</v>
      </c>
      <c r="G2" s="9"/>
      <c r="H2" s="9"/>
      <c r="I2" s="9" t="s">
        <v>142</v>
      </c>
      <c r="J2" s="12">
        <f>D2/F2*100</f>
        <v>94</v>
      </c>
      <c r="K2" s="9" t="s">
        <v>143</v>
      </c>
    </row>
    <row r="3" spans="1:11" ht="45" customHeight="1" x14ac:dyDescent="0.3">
      <c r="A3" s="9" t="s">
        <v>144</v>
      </c>
      <c r="B3" s="9" t="s">
        <v>145</v>
      </c>
      <c r="C3" s="9" t="s">
        <v>146</v>
      </c>
      <c r="D3" s="10">
        <v>45000</v>
      </c>
      <c r="E3" s="9" t="s">
        <v>147</v>
      </c>
      <c r="F3" s="10">
        <v>600000</v>
      </c>
      <c r="G3" s="9"/>
      <c r="H3" s="9"/>
      <c r="I3" s="9" t="s">
        <v>148</v>
      </c>
      <c r="J3" s="12">
        <f>D3/F3*100</f>
        <v>7.5</v>
      </c>
      <c r="K3" s="9" t="s">
        <v>91</v>
      </c>
    </row>
    <row r="4" spans="1:11" ht="45" customHeight="1" x14ac:dyDescent="0.3">
      <c r="A4" s="9" t="s">
        <v>149</v>
      </c>
      <c r="B4" s="9" t="s">
        <v>150</v>
      </c>
      <c r="C4" s="9" t="s">
        <v>151</v>
      </c>
      <c r="D4" s="10">
        <v>980</v>
      </c>
      <c r="E4" s="9" t="s">
        <v>152</v>
      </c>
      <c r="F4" s="10">
        <v>1000</v>
      </c>
      <c r="G4" s="9"/>
      <c r="H4" s="9"/>
      <c r="I4" s="9" t="s">
        <v>153</v>
      </c>
      <c r="J4" s="12">
        <f>D4/F4*100</f>
        <v>98</v>
      </c>
      <c r="K4" s="9" t="s">
        <v>154</v>
      </c>
    </row>
    <row r="6" spans="1:11" ht="28.05" customHeight="1" x14ac:dyDescent="0.3">
      <c r="A6" s="18" t="s">
        <v>78</v>
      </c>
      <c r="B6" s="19"/>
      <c r="C6" s="19"/>
      <c r="D6" s="19"/>
      <c r="E6" s="19"/>
      <c r="F6" s="19"/>
      <c r="G6" s="19"/>
      <c r="H6" s="19"/>
      <c r="I6" s="19"/>
      <c r="J6" s="19"/>
      <c r="K6" s="19"/>
    </row>
  </sheetData>
  <mergeCells count="1">
    <mergeCell ref="A6:K6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22.77734375" style="1" customWidth="1"/>
    <col min="2" max="2" width="45.77734375" style="1" customWidth="1"/>
    <col min="3" max="3" width="20.77734375" style="1" customWidth="1"/>
    <col min="4" max="4" width="12.77734375" style="1" customWidth="1"/>
    <col min="5" max="5" width="20.77734375" style="1" customWidth="1"/>
    <col min="6" max="6" width="12.77734375" style="1" customWidth="1"/>
    <col min="7" max="7" width="20.77734375" style="1" customWidth="1"/>
    <col min="8" max="8" width="12.77734375" style="1" customWidth="1"/>
    <col min="9" max="9" width="30.77734375" style="1" customWidth="1"/>
    <col min="10" max="10" width="14.77734375" style="1" customWidth="1"/>
    <col min="11" max="11" width="28.77734375" style="1" customWidth="1"/>
    <col min="12" max="16384" width="8.88671875" style="1"/>
  </cols>
  <sheetData>
    <row r="1" spans="1:11" ht="30" customHeight="1" x14ac:dyDescent="0.3">
      <c r="A1" s="8" t="s">
        <v>20</v>
      </c>
      <c r="B1" s="8" t="s">
        <v>21</v>
      </c>
      <c r="C1" s="8" t="s">
        <v>22</v>
      </c>
      <c r="D1" s="8" t="s">
        <v>23</v>
      </c>
      <c r="E1" s="8" t="s">
        <v>24</v>
      </c>
      <c r="F1" s="8" t="s">
        <v>25</v>
      </c>
      <c r="G1" s="8" t="s">
        <v>26</v>
      </c>
      <c r="H1" s="8" t="s">
        <v>27</v>
      </c>
      <c r="I1" s="8" t="s">
        <v>28</v>
      </c>
      <c r="J1" s="8" t="s">
        <v>29</v>
      </c>
      <c r="K1" s="8" t="s">
        <v>30</v>
      </c>
    </row>
    <row r="2" spans="1:11" ht="45" customHeight="1" x14ac:dyDescent="0.3">
      <c r="A2" s="9" t="s">
        <v>155</v>
      </c>
      <c r="B2" s="9" t="s">
        <v>156</v>
      </c>
      <c r="C2" s="9" t="s">
        <v>157</v>
      </c>
      <c r="D2" s="10">
        <v>720</v>
      </c>
      <c r="E2" s="9" t="s">
        <v>158</v>
      </c>
      <c r="F2" s="10">
        <v>2</v>
      </c>
      <c r="G2" s="9"/>
      <c r="H2" s="9"/>
      <c r="I2" s="9" t="s">
        <v>159</v>
      </c>
      <c r="J2" s="14">
        <f>(D2-F2)/D2*100</f>
        <v>99.722222222222229</v>
      </c>
      <c r="K2" s="9" t="s">
        <v>160</v>
      </c>
    </row>
    <row r="3" spans="1:11" ht="45" customHeight="1" x14ac:dyDescent="0.3">
      <c r="A3" s="9" t="s">
        <v>161</v>
      </c>
      <c r="B3" s="9" t="s">
        <v>162</v>
      </c>
      <c r="C3" s="9" t="s">
        <v>163</v>
      </c>
      <c r="D3" s="10">
        <v>10</v>
      </c>
      <c r="E3" s="9" t="s">
        <v>164</v>
      </c>
      <c r="F3" s="10">
        <v>5</v>
      </c>
      <c r="G3" s="9"/>
      <c r="H3" s="9"/>
      <c r="I3" s="9" t="s">
        <v>165</v>
      </c>
      <c r="J3" s="17">
        <f>D3/F3</f>
        <v>2</v>
      </c>
      <c r="K3" s="9" t="s">
        <v>91</v>
      </c>
    </row>
    <row r="4" spans="1:11" ht="45" customHeight="1" x14ac:dyDescent="0.3">
      <c r="A4" s="9" t="s">
        <v>166</v>
      </c>
      <c r="B4" s="9" t="s">
        <v>167</v>
      </c>
      <c r="C4" s="9" t="s">
        <v>168</v>
      </c>
      <c r="D4" s="10">
        <v>720</v>
      </c>
      <c r="E4" s="9" t="s">
        <v>169</v>
      </c>
      <c r="F4" s="10">
        <v>5</v>
      </c>
      <c r="G4" s="9"/>
      <c r="H4" s="9"/>
      <c r="I4" s="9" t="s">
        <v>170</v>
      </c>
      <c r="J4" s="17">
        <f>D4/F4</f>
        <v>144</v>
      </c>
      <c r="K4" s="9" t="s">
        <v>59</v>
      </c>
    </row>
    <row r="6" spans="1:11" ht="28.05" customHeight="1" x14ac:dyDescent="0.3">
      <c r="A6" s="18" t="s">
        <v>78</v>
      </c>
      <c r="B6" s="19"/>
      <c r="C6" s="19"/>
      <c r="D6" s="19"/>
      <c r="E6" s="19"/>
      <c r="F6" s="19"/>
      <c r="G6" s="19"/>
      <c r="H6" s="19"/>
      <c r="I6" s="19"/>
      <c r="J6" s="19"/>
      <c r="K6" s="19"/>
    </row>
  </sheetData>
  <mergeCells count="1">
    <mergeCell ref="A6:K6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22.77734375" style="1" customWidth="1"/>
    <col min="2" max="2" width="45.77734375" style="1" customWidth="1"/>
    <col min="3" max="3" width="20.77734375" style="1" customWidth="1"/>
    <col min="4" max="4" width="12.77734375" style="1" customWidth="1"/>
    <col min="5" max="5" width="20.77734375" style="1" customWidth="1"/>
    <col min="6" max="6" width="12.77734375" style="1" customWidth="1"/>
    <col min="7" max="7" width="20.77734375" style="1" customWidth="1"/>
    <col min="8" max="8" width="12.77734375" style="1" customWidth="1"/>
    <col min="9" max="9" width="30.77734375" style="1" customWidth="1"/>
    <col min="10" max="10" width="14.77734375" style="1" customWidth="1"/>
    <col min="11" max="11" width="28.77734375" style="1" customWidth="1"/>
    <col min="12" max="16384" width="8.88671875" style="1"/>
  </cols>
  <sheetData>
    <row r="1" spans="1:11" ht="30" customHeight="1" x14ac:dyDescent="0.3">
      <c r="A1" s="8" t="s">
        <v>20</v>
      </c>
      <c r="B1" s="8" t="s">
        <v>21</v>
      </c>
      <c r="C1" s="8" t="s">
        <v>22</v>
      </c>
      <c r="D1" s="8" t="s">
        <v>23</v>
      </c>
      <c r="E1" s="8" t="s">
        <v>24</v>
      </c>
      <c r="F1" s="8" t="s">
        <v>25</v>
      </c>
      <c r="G1" s="8" t="s">
        <v>26</v>
      </c>
      <c r="H1" s="8" t="s">
        <v>27</v>
      </c>
      <c r="I1" s="8" t="s">
        <v>28</v>
      </c>
      <c r="J1" s="8" t="s">
        <v>29</v>
      </c>
      <c r="K1" s="8" t="s">
        <v>30</v>
      </c>
    </row>
    <row r="2" spans="1:11" ht="45" customHeight="1" x14ac:dyDescent="0.3">
      <c r="A2" s="9" t="s">
        <v>171</v>
      </c>
      <c r="B2" s="9" t="s">
        <v>172</v>
      </c>
      <c r="C2" s="9" t="s">
        <v>173</v>
      </c>
      <c r="D2" s="10">
        <v>15000</v>
      </c>
      <c r="E2" s="9" t="s">
        <v>174</v>
      </c>
      <c r="F2" s="10">
        <v>10000</v>
      </c>
      <c r="G2" s="9"/>
      <c r="H2" s="9"/>
      <c r="I2" s="9" t="s">
        <v>175</v>
      </c>
      <c r="J2" s="11">
        <f>D2/F2</f>
        <v>1.5</v>
      </c>
      <c r="K2" s="9" t="s">
        <v>176</v>
      </c>
    </row>
    <row r="4" spans="1:11" ht="28.05" customHeight="1" x14ac:dyDescent="0.3">
      <c r="A4" s="18" t="s">
        <v>78</v>
      </c>
      <c r="B4" s="19"/>
      <c r="C4" s="19"/>
      <c r="D4" s="19"/>
      <c r="E4" s="19"/>
      <c r="F4" s="19"/>
      <c r="G4" s="19"/>
      <c r="H4" s="19"/>
      <c r="I4" s="19"/>
      <c r="J4" s="19"/>
      <c r="K4" s="19"/>
    </row>
  </sheetData>
  <mergeCells count="1">
    <mergeCell ref="A4:K4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Resumo</vt:lpstr>
      <vt:lpstr>Financeiro</vt:lpstr>
      <vt:lpstr>Operacional</vt:lpstr>
      <vt:lpstr>Comercial</vt:lpstr>
      <vt:lpstr>RH</vt:lpstr>
      <vt:lpstr>Qualidade</vt:lpstr>
      <vt:lpstr>Logistica</vt:lpstr>
      <vt:lpstr>TI</vt:lpstr>
      <vt:lpstr>ESG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Kawasaki</dc:creator>
  <cp:lastModifiedBy>Bruno Kawasaki</cp:lastModifiedBy>
  <dcterms:created xsi:type="dcterms:W3CDTF">2026-07-02T15:35:44Z</dcterms:created>
  <dcterms:modified xsi:type="dcterms:W3CDTF">2026-07-02T15:44:33Z</dcterms:modified>
</cp:coreProperties>
</file>